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ntrols" sheetId="2" state="visible" r:id="rId4"/>
    <sheet name="1_Billing_to_Model" sheetId="3" state="visible" r:id="rId5"/>
    <sheet name="2_Model_to_GL" sheetId="4" state="visible" r:id="rId6"/>
    <sheet name="3_MRR_RollForward" sheetId="5" state="visible" r:id="rId7"/>
    <sheet name="4_Customers_Keys" sheetId="6" state="visible" r:id="rId8"/>
    <sheet name="5_KPI_TieOut" sheetId="7" state="visible" r:id="rId9"/>
    <sheet name="6_Bookings_to_Bill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<sst xmlns="http://schemas.openxmlformats.org/spreadsheetml/2006/main" count="170" uniqueCount="120">
  <si>
    <t xml:space="preserve">Northwind Cloud – FY2026 reconciliation summary</t>
  </si>
  <si>
    <t xml:space="preserve">Sign-off sheet. All six checks must show PASS before the dashboard is published.</t>
  </si>
  <si>
    <t xml:space="preserve">#</t>
  </si>
  <si>
    <t xml:space="preserve">Check</t>
  </si>
  <si>
    <t xml:space="preserve">What it proves</t>
  </si>
  <si>
    <t xml:space="preserve">Result</t>
  </si>
  <si>
    <t xml:space="preserve">1</t>
  </si>
  <si>
    <t xml:space="preserve">Billing export → model rows</t>
  </si>
  <si>
    <t xml:space="preserve">No rows lost or added except documented duplicates and test accounts</t>
  </si>
  <si>
    <t xml:space="preserve">2</t>
  </si>
  <si>
    <t xml:space="preserve">Model revenue → GL</t>
  </si>
  <si>
    <t xml:space="preserve">Report revenue equals the books, month by month</t>
  </si>
  <si>
    <t xml:space="preserve">3</t>
  </si>
  <si>
    <t xml:space="preserve">MRR roll-forward</t>
  </si>
  <si>
    <t xml:space="preserve">Movements fully explain the change in MRR; no gaps between months</t>
  </si>
  <si>
    <t xml:space="preserve">4</t>
  </si>
  <si>
    <t xml:space="preserve">Customer master &amp; keys</t>
  </si>
  <si>
    <t xml:space="preserve">No orphan customers, every line converted to USD</t>
  </si>
  <si>
    <t xml:space="preserve">5</t>
  </si>
  <si>
    <t xml:space="preserve">Dashboard KPI tie-out</t>
  </si>
  <si>
    <t xml:space="preserve">Headline cards trace back to reconciled numbers</t>
  </si>
  <si>
    <t xml:space="preserve">6</t>
  </si>
  <si>
    <t xml:space="preserve">CRM bookings → billing</t>
  </si>
  <si>
    <t xml:space="preserve">Sales page bookings equal the new revenue finance sees</t>
  </si>
  <si>
    <t xml:space="preserve">Overall</t>
  </si>
  <si>
    <t xml:space="preserve">Prepared by</t>
  </si>
  <si>
    <t xml:space="preserve">BI Developer</t>
  </si>
  <si>
    <t xml:space="preserve">Reviewed by</t>
  </si>
  <si>
    <t xml:space="preserve">Finance Controller</t>
  </si>
  <si>
    <t xml:space="preserve">Reconciliation controls</t>
  </si>
  <si>
    <t xml:space="preserve">Revenue tolerance per month (USD)</t>
  </si>
  <si>
    <t xml:space="preserve">Max acceptable model-vs-GL difference; covers cent rounding after FX conversion</t>
  </si>
  <si>
    <t xml:space="preserve">MRR roll-forward tolerance (USD)</t>
  </si>
  <si>
    <t xml:space="preserve">Opening + New + Expansion - Contraction - Churn must equal Closing</t>
  </si>
  <si>
    <t xml:space="preserve">Budget source</t>
  </si>
  <si>
    <t xml:space="preserve">finance_gl_budget.xlsx / Revenue_Budget</t>
  </si>
  <si>
    <t xml:space="preserve">Approved FY2026 budget, by month and region</t>
  </si>
  <si>
    <t xml:space="preserve">Legend</t>
  </si>
  <si>
    <t xml:space="preserve">Blue text = input pasted from a source file or exported from the Power BI model</t>
  </si>
  <si>
    <t xml:space="preserve">Black text = formula</t>
  </si>
  <si>
    <t xml:space="preserve">Green text = link to another sheet in this workbook</t>
  </si>
  <si>
    <t xml:space="preserve">Yellow fill = tolerance you can change</t>
  </si>
  <si>
    <t xml:space="preserve">Model-side values are the outputs of the Power BI measures (exported from a table visual). In this repo they are produced by scripts/compute_metrics.py, which applies the same Power Query cleaning rules and measure logic.</t>
  </si>
  <si>
    <t xml:space="preserve">1. Billing export → Power BI fact_MRR (row counts)</t>
  </si>
  <si>
    <t xml:space="preserve">Every row removed by Power Query must be explained: exact duplicates and QA test accounts. Nothing else may disappear.</t>
  </si>
  <si>
    <t xml:space="preserve">Month</t>
  </si>
  <si>
    <t xml:space="preserve">Raw export rows</t>
  </si>
  <si>
    <t xml:space="preserve">Duplicate rows removed</t>
  </si>
  <si>
    <t xml:space="preserve">Test-account rows removed</t>
  </si>
  <si>
    <t xml:space="preserve">Expected model rows</t>
  </si>
  <si>
    <t xml:space="preserve">Power BI fact_MRR rows</t>
  </si>
  <si>
    <t xml:space="preserve">Difference</t>
  </si>
  <si>
    <t xml:space="preserve">Status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</si>
  <si>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</si>
  <si>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</si>
  <si>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</si>
  <si>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</si>
  <si>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</si>
  <si>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</si>
  <si>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</si>
  <si>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</si>
  <si>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</si>
  <si>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</si>
  <si>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</si>
  <si>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</si>
  <si>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</si>
  <si>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Total</t>
  </si>
  <si>
    <t xml:space="preserve">2. Power BI subscription revenue → GL account 4000 (USD)</t>
  </si>
  <si>
    <t xml:space="preserve">Model revenue = Σ(MRR_Local × FX rate) after cleaning. GL is posted rounded to cents, so a sub-$1 difference is expected.</t>
  </si>
  <si>
    <t xml:space="preserve">Power BI [Subscription Revenue]</t>
  </si>
  <si>
    <t xml:space="preserve">GL 4000 Subscription Revenue</t>
  </si>
  <si>
    <t xml:space="preserve">Within tolerance?</t>
  </si>
  <si>
    <t xml:space="preserve">FY2026</t>
  </si>
  <si>
    <t xml:space="preserve">3. MRR roll-forward (Power BI fact_MRR_Movements vs fact_MRR)</t>
  </si>
  <si>
    <t xml:space="preserve">Opening + New + Expansion − Contraction − Churn + FX impact = Closing; each Opening = prior Closing. Movements are classified in constant currency; FX is its own line.</t>
  </si>
  <si>
    <t xml:space="preserve">Opening MRR</t>
  </si>
  <si>
    <t xml:space="preserve">New</t>
  </si>
  <si>
    <t xml:space="preserve">Expansion</t>
  </si>
  <si>
    <t xml:space="preserve">Contraction</t>
  </si>
  <si>
    <t xml:space="preserve">Churn</t>
  </si>
  <si>
    <t xml:space="preserve">FX impact</t>
  </si>
  <si>
    <t xml:space="preserve">Closing MRR (fact_MRR)</t>
  </si>
  <si>
    <t xml:space="preserve">Calculated closing</t>
  </si>
  <si>
    <t xml:space="preserve">Roll-forward diff</t>
  </si>
  <si>
    <t xml:space="preserve">Opening = prior closing?</t>
  </si>
  <si>
    <t xml:space="preserve">4. Customer master and key integrity</t>
  </si>
  <si>
    <t xml:space="preserve">Every billed customer must exist in the CRM (no orphans) and every billing line must find an FX rate.</t>
  </si>
  <si>
    <t xml:space="preserve">Source value</t>
  </si>
  <si>
    <t xml:space="preserve">Power BI value</t>
  </si>
  <si>
    <t xml:space="preserve">Customers in CRM (crm_customers.xlsx)</t>
  </si>
  <si>
    <t xml:space="preserve">Distinct customers billed after cleaning vs dim_Customer matches</t>
  </si>
  <si>
    <t xml:space="preserve">Billing lines with no matching CRM customer (orphans)</t>
  </si>
  <si>
    <t xml:space="preserve">Billing lines with no FX rate</t>
  </si>
  <si>
    <t xml:space="preserve">Test-account revenue excluded (USD, should be &gt; 0 and excluded)</t>
  </si>
  <si>
    <t xml:space="preserve">All checks</t>
  </si>
  <si>
    <t xml:space="preserve">5. Dashboard KPI tie-out</t>
  </si>
  <si>
    <t xml:space="preserve">Each card on the dashboard re-derived from the reconciled tables above (or from the GL). Report value = what the card shows.</t>
  </si>
  <si>
    <t xml:space="preserve">KPI</t>
  </si>
  <si>
    <t xml:space="preserve">Report value</t>
  </si>
  <si>
    <t xml:space="preserve">Re-derived value</t>
  </si>
  <si>
    <t xml:space="preserve">Formula / basis</t>
  </si>
  <si>
    <t xml:space="preserve">ARR (Dec-26)</t>
  </si>
  <si>
    <t xml:space="preserve">Closing MRR Dec-26 × 12 (sheet 3)</t>
  </si>
  <si>
    <t xml:space="preserve">FY2026 subscription revenue</t>
  </si>
  <si>
    <t xml:space="preserve">GL 4000 total (sheet 2)</t>
  </si>
  <si>
    <t xml:space="preserve">FY2026 change in MRR</t>
  </si>
  <si>
    <t xml:space="preserve">New + Expansion − Contraction − Churn + FX (sheet 3)</t>
  </si>
  <si>
    <t xml:space="preserve">FY2026 revenue budget</t>
  </si>
  <si>
    <t xml:space="preserve">Σ Revenue_Budget (finance_gl_budget.xlsx)</t>
  </si>
  <si>
    <t xml:space="preserve">Revenue vs budget (FY)</t>
  </si>
  <si>
    <t xml:space="preserve">Actual ÷ budget − 1 (informational, not a pass/fail check)</t>
  </si>
  <si>
    <t xml:space="preserve">All KPI checks</t>
  </si>
  <si>
    <t xml:space="preserve">6. CRM closed-won deals → new-logo MRR in billing</t>
  </si>
  <si>
    <t xml:space="preserve">Sales performance uses CRM bookings; finance uses billing. Closed-won ARR must equal first-month billed MRR × 12 for the same new customers.</t>
  </si>
  <si>
    <t xml:space="preserve">CRM deals won</t>
  </si>
  <si>
    <t xml:space="preserve">Power BI new logos</t>
  </si>
  <si>
    <t xml:space="preserve">Logo diff</t>
  </si>
  <si>
    <t xml:space="preserve">CRM closed-won ARR</t>
  </si>
  <si>
    <t xml:space="preserve">Billing new MRR × 12</t>
  </si>
  <si>
    <t xml:space="preserve">ARR diff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</si>
</sst>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#,##0;\(#,##0\);\-"/>
    <numFmt numFmtId="167" formatCode="General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05E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2423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1DF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FF6DD"/>
        </patternFill>
      </fill>
    </dxf>
    <dxf>
      <fill>
        <patternFill>
          <bgColor rgb="FFFDE7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7E9"/>
      <rgbColor rgb="FFCCFFFF"/>
      <rgbColor rgb="FF660066"/>
      <rgbColor rgb="FFFF8080"/>
      <rgbColor rgb="FF0066CC"/>
      <rgbColor rgb="FFE1DF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6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5E5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524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6" t="str">
        <f aca="false">1_Billing_to_Model!H18</f>
        <v>PASS</v>
      </c>
    </row>
    <row r="6" customFormat="false" ht="15" hidden="false" customHeight="false" outlineLevel="0" collapsed="false">
      <c r="A6" s="4" t="s">
        <v>9</v>
      </c>
      <c r="B6" s="4" t="s">
        <v>10</v>
      </c>
      <c r="C6" s="5" t="s">
        <v>11</v>
      </c>
      <c r="D6" s="6" t="str">
        <f aca="false">2_Model_to_GL!F17</f>
        <v>PASS</v>
      </c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14</v>
      </c>
      <c r="D7" s="6" t="str">
        <f aca="false">3_MRR_RollForward!L17</f>
        <v>PASS</v>
      </c>
    </row>
    <row r="8" customFormat="false" ht="15" hidden="false" customHeight="false" outlineLevel="0" collapsed="false">
      <c r="A8" s="4" t="s">
        <v>15</v>
      </c>
      <c r="B8" s="4" t="s">
        <v>16</v>
      </c>
      <c r="C8" s="5" t="s">
        <v>17</v>
      </c>
      <c r="D8" s="6" t="str">
        <f aca="false">4_Customers_Keys!E10</f>
        <v>PASS</v>
      </c>
    </row>
    <row r="9" customFormat="false" ht="15" hidden="false" customHeight="false" outlineLevel="0" collapsed="false">
      <c r="A9" s="4" t="s">
        <v>18</v>
      </c>
      <c r="B9" s="4" t="s">
        <v>19</v>
      </c>
      <c r="C9" s="5" t="s">
        <v>20</v>
      </c>
      <c r="D9" s="6" t="str">
        <f aca="false">5_KPI_TieOut!F10</f>
        <v>PASS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5" t="s">
        <v>23</v>
      </c>
      <c r="D10" s="6" t="str">
        <f aca="false">6_Bookings_to_Billing!H17</f>
        <v>PASS</v>
      </c>
    </row>
    <row r="11" customFormat="false" ht="15" hidden="false" customHeight="false" outlineLevel="0" collapsed="false">
      <c r="B11" s="7" t="s">
        <v>24</v>
      </c>
      <c r="D11" s="7" t="str">
        <f aca="false">IF(COUNTIF(D5:D10,"PASS")=6,"PASS","FAIL")</f>
        <v>PASS</v>
      </c>
    </row>
    <row r="13" customFormat="false" ht="15" hidden="false" customHeight="false" outlineLevel="0" collapsed="false">
      <c r="B13" s="5" t="s">
        <v>25</v>
      </c>
      <c r="C13" s="8" t="s">
        <v>26</v>
      </c>
    </row>
    <row r="14" customFormat="false" ht="15" hidden="false" customHeight="false" outlineLevel="0" collapsed="false">
      <c r="B14" s="5" t="s">
        <v>27</v>
      </c>
      <c r="C14" s="8" t="s">
        <v>28</v>
      </c>
    </row>
  </sheetData>
  <conditionalFormatting sqref="D5:D1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29</v>
      </c>
    </row>
    <row r="3" customFormat="false" ht="15" hidden="false" customHeight="false" outlineLevel="0" collapsed="false">
      <c r="A3" s="4" t="s">
        <v>30</v>
      </c>
      <c r="B3" s="9" t="n">
        <v>1</v>
      </c>
      <c r="C3" s="5" t="s">
        <v>31</v>
      </c>
    </row>
    <row r="4" customFormat="false" ht="15" hidden="false" customHeight="false" outlineLevel="0" collapsed="false">
      <c r="A4" s="4" t="s">
        <v>32</v>
      </c>
      <c r="B4" s="9" t="n">
        <v>0.01</v>
      </c>
      <c r="C4" s="5" t="s">
        <v>33</v>
      </c>
    </row>
    <row r="5" customFormat="false" ht="15" hidden="false" customHeight="false" outlineLevel="0" collapsed="false">
      <c r="A5" s="4" t="s">
        <v>34</v>
      </c>
      <c r="B5" s="8" t="s">
        <v>35</v>
      </c>
      <c r="C5" s="5" t="s">
        <v>36</v>
      </c>
    </row>
    <row r="8" customFormat="false" ht="15" hidden="false" customHeight="false" outlineLevel="0" collapsed="false">
      <c r="A8" s="10" t="s">
        <v>37</v>
      </c>
    </row>
    <row r="9" customFormat="false" ht="15" hidden="false" customHeight="false" outlineLevel="0" collapsed="false">
      <c r="A9" s="8" t="s">
        <v>38</v>
      </c>
    </row>
    <row r="10" customFormat="false" ht="15" hidden="false" customHeight="false" outlineLevel="0" collapsed="false">
      <c r="A10" s="4" t="s">
        <v>39</v>
      </c>
    </row>
    <row r="11" customFormat="false" ht="15" hidden="false" customHeight="false" outlineLevel="0" collapsed="false">
      <c r="A11" s="6" t="s">
        <v>40</v>
      </c>
    </row>
    <row r="12" customFormat="false" ht="15" hidden="false" customHeight="false" outlineLevel="0" collapsed="false">
      <c r="A12" s="4" t="s">
        <v>41</v>
      </c>
    </row>
    <row r="14" customFormat="false" ht="15" hidden="false" customHeight="false" outlineLevel="0" collapsed="false">
      <c r="A14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4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30" hidden="false" customHeight="true" outlineLevel="0" collapsed="false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50</v>
      </c>
      <c r="G4" s="11" t="s">
        <v>51</v>
      </c>
      <c r="H4" s="11" t="s">
        <v>52</v>
      </c>
    </row>
    <row r="5" customFormat="false" ht="15" hidden="false" customHeight="false" outlineLevel="0" collapsed="false">
      <c r="A5" s="4" t="s">
        <v>53</v>
      </c>
      <c r="B5" s="12" t="n">
        <v>1040</v>
      </c>
      <c r="C5" s="12" t="n">
        <v>3</v>
      </c>
      <c r="D5" s="12" t="n">
        <v>0</v>
      </c>
      <c r="E5" s="13" t="n">
        <f aca="false">B5-C5-D5</f>
        <v>1037</v>
      </c>
      <c r="F5" s="12" t="n">
        <v>1037</v>
      </c>
      <c r="G5" s="13" t="n">
        <f aca="false">F5-E5</f>
        <v>0</v>
      </c>
      <c r="H5" s="4" t="str">
        <f aca="false">IF(G5=0,"PASS","FAIL")</f>
        <v>PASS</v>
      </c>
    </row>
    <row r="6" customFormat="false" ht="15" hidden="false" customHeight="false" outlineLevel="0" collapsed="false">
      <c r="A6" s="4" t="s">
        <v>54</v>
      </c>
      <c r="B6" s="12" t="n">
        <v>1111</v>
      </c>
      <c r="C6" s="12" t="n">
        <v>3</v>
      </c>
      <c r="D6" s="12" t="n">
        <v>0</v>
      </c>
      <c r="E6" s="13" t="n">
        <f aca="false">B6-C6-D6</f>
        <v>1108</v>
      </c>
      <c r="F6" s="12" t="n">
        <v>1108</v>
      </c>
      <c r="G6" s="13" t="n">
        <f aca="false">F6-E6</f>
        <v>0</v>
      </c>
      <c r="H6" s="4" t="str">
        <f aca="false">IF(G6=0,"PASS","FAIL")</f>
        <v>PASS</v>
      </c>
    </row>
    <row r="7" customFormat="false" ht="15" hidden="false" customHeight="false" outlineLevel="0" collapsed="false">
      <c r="A7" s="4" t="s">
        <v>55</v>
      </c>
      <c r="B7" s="12" t="n">
        <v>1166</v>
      </c>
      <c r="C7" s="12" t="n">
        <v>4</v>
      </c>
      <c r="D7" s="12" t="n">
        <v>0</v>
      </c>
      <c r="E7" s="13" t="n">
        <f aca="false">B7-C7-D7</f>
        <v>1162</v>
      </c>
      <c r="F7" s="12" t="n">
        <v>1162</v>
      </c>
      <c r="G7" s="13" t="n">
        <f aca="false">F7-E7</f>
        <v>0</v>
      </c>
      <c r="H7" s="4" t="str">
        <f aca="false">IF(G7=0,"PASS","FAIL")</f>
        <v>PASS</v>
      </c>
    </row>
    <row r="8" customFormat="false" ht="15" hidden="false" customHeight="false" outlineLevel="0" collapsed="false">
      <c r="A8" s="4" t="s">
        <v>56</v>
      </c>
      <c r="B8" s="12" t="n">
        <v>1221</v>
      </c>
      <c r="C8" s="12" t="n">
        <v>2</v>
      </c>
      <c r="D8" s="12" t="n">
        <v>0</v>
      </c>
      <c r="E8" s="13" t="n">
        <f aca="false">B8-C8-D8</f>
        <v>1219</v>
      </c>
      <c r="F8" s="12" t="n">
        <v>1219</v>
      </c>
      <c r="G8" s="13" t="n">
        <f aca="false">F8-E8</f>
        <v>0</v>
      </c>
      <c r="H8" s="4" t="str">
        <f aca="false">IF(G8=0,"PASS","FAIL")</f>
        <v>PASS</v>
      </c>
    </row>
    <row r="9" customFormat="false" ht="15" hidden="false" customHeight="false" outlineLevel="0" collapsed="false">
      <c r="A9" s="4" t="s">
        <v>57</v>
      </c>
      <c r="B9" s="12" t="n">
        <v>1300</v>
      </c>
      <c r="C9" s="12" t="n">
        <v>5</v>
      </c>
      <c r="D9" s="12" t="n">
        <v>2</v>
      </c>
      <c r="E9" s="13" t="n">
        <f aca="false">B9-C9-D9</f>
        <v>1293</v>
      </c>
      <c r="F9" s="12" t="n">
        <v>1293</v>
      </c>
      <c r="G9" s="13" t="n">
        <f aca="false">F9-E9</f>
        <v>0</v>
      </c>
      <c r="H9" s="4" t="str">
        <f aca="false">IF(G9=0,"PASS","FAIL")</f>
        <v>PASS</v>
      </c>
    </row>
    <row r="10" customFormat="false" ht="15" hidden="false" customHeight="false" outlineLevel="0" collapsed="false">
      <c r="A10" s="4" t="s">
        <v>58</v>
      </c>
      <c r="B10" s="12" t="n">
        <v>1372</v>
      </c>
      <c r="C10" s="12" t="n">
        <v>3</v>
      </c>
      <c r="D10" s="12" t="n">
        <v>2</v>
      </c>
      <c r="E10" s="13" t="n">
        <f aca="false">B10-C10-D10</f>
        <v>1367</v>
      </c>
      <c r="F10" s="12" t="n">
        <v>1367</v>
      </c>
      <c r="G10" s="13" t="n">
        <f aca="false">F10-E10</f>
        <v>0</v>
      </c>
      <c r="H10" s="4" t="str">
        <f aca="false">IF(G10=0,"PASS","FAIL")</f>
        <v>PASS</v>
      </c>
    </row>
    <row r="11" customFormat="false" ht="15" hidden="false" customHeight="false" outlineLevel="0" collapsed="false">
      <c r="A11" s="4" t="s">
        <v>59</v>
      </c>
      <c r="B11" s="12" t="n">
        <v>1453</v>
      </c>
      <c r="C11" s="12" t="n">
        <v>5</v>
      </c>
      <c r="D11" s="12" t="n">
        <v>2</v>
      </c>
      <c r="E11" s="13" t="n">
        <f aca="false">B11-C11-D11</f>
        <v>1446</v>
      </c>
      <c r="F11" s="12" t="n">
        <v>1446</v>
      </c>
      <c r="G11" s="13" t="n">
        <f aca="false">F11-E11</f>
        <v>0</v>
      </c>
      <c r="H11" s="4" t="str">
        <f aca="false">IF(G11=0,"PASS","FAIL")</f>
        <v>PASS</v>
      </c>
    </row>
    <row r="12" customFormat="false" ht="15" hidden="false" customHeight="false" outlineLevel="0" collapsed="false">
      <c r="A12" s="4" t="s">
        <v>60</v>
      </c>
      <c r="B12" s="12" t="n">
        <v>1510</v>
      </c>
      <c r="C12" s="12" t="n">
        <v>5</v>
      </c>
      <c r="D12" s="12" t="n">
        <v>2</v>
      </c>
      <c r="E12" s="13" t="n">
        <f aca="false">B12-C12-D12</f>
        <v>1503</v>
      </c>
      <c r="F12" s="12" t="n">
        <v>1503</v>
      </c>
      <c r="G12" s="13" t="n">
        <f aca="false">F12-E12</f>
        <v>0</v>
      </c>
      <c r="H12" s="4" t="str">
        <f aca="false">IF(G12=0,"PASS","FAIL")</f>
        <v>PASS</v>
      </c>
    </row>
    <row r="13" customFormat="false" ht="15" hidden="false" customHeight="false" outlineLevel="0" collapsed="false">
      <c r="A13" s="4" t="s">
        <v>61</v>
      </c>
      <c r="B13" s="12" t="n">
        <v>1553</v>
      </c>
      <c r="C13" s="12" t="n">
        <v>4</v>
      </c>
      <c r="D13" s="12" t="n">
        <v>2</v>
      </c>
      <c r="E13" s="13" t="n">
        <f aca="false">B13-C13-D13</f>
        <v>1547</v>
      </c>
      <c r="F13" s="12" t="n">
        <v>1547</v>
      </c>
      <c r="G13" s="13" t="n">
        <f aca="false">F13-E13</f>
        <v>0</v>
      </c>
      <c r="H13" s="4" t="str">
        <f aca="false">IF(G13=0,"PASS","FAIL")</f>
        <v>PASS</v>
      </c>
    </row>
    <row r="14" customFormat="false" ht="15" hidden="false" customHeight="false" outlineLevel="0" collapsed="false">
      <c r="A14" s="4" t="s">
        <v>62</v>
      </c>
      <c r="B14" s="12" t="n">
        <v>1614</v>
      </c>
      <c r="C14" s="12" t="n">
        <v>3</v>
      </c>
      <c r="D14" s="12" t="n">
        <v>2</v>
      </c>
      <c r="E14" s="13" t="n">
        <f aca="false">B14-C14-D14</f>
        <v>1609</v>
      </c>
      <c r="F14" s="12" t="n">
        <v>1609</v>
      </c>
      <c r="G14" s="13" t="n">
        <f aca="false">F14-E14</f>
        <v>0</v>
      </c>
      <c r="H14" s="4" t="str">
        <f aca="false">IF(G14=0,"PASS","FAIL")</f>
        <v>PASS</v>
      </c>
    </row>
    <row r="15" customFormat="false" ht="15" hidden="false" customHeight="false" outlineLevel="0" collapsed="false">
      <c r="A15" s="4" t="s">
        <v>63</v>
      </c>
      <c r="B15" s="12" t="n">
        <v>1694</v>
      </c>
      <c r="C15" s="12" t="n">
        <v>6</v>
      </c>
      <c r="D15" s="12" t="n">
        <v>2</v>
      </c>
      <c r="E15" s="13" t="n">
        <f aca="false">B15-C15-D15</f>
        <v>1686</v>
      </c>
      <c r="F15" s="12" t="n">
        <v>1686</v>
      </c>
      <c r="G15" s="13" t="n">
        <f aca="false">F15-E15</f>
        <v>0</v>
      </c>
      <c r="H15" s="4" t="str">
        <f aca="false">IF(G15=0,"PASS","FAIL")</f>
        <v>PASS</v>
      </c>
    </row>
    <row r="16" customFormat="false" ht="15" hidden="false" customHeight="false" outlineLevel="0" collapsed="false">
      <c r="A16" s="4" t="s">
        <v>64</v>
      </c>
      <c r="B16" s="12" t="n">
        <v>1742</v>
      </c>
      <c r="C16" s="12" t="n">
        <v>8</v>
      </c>
      <c r="D16" s="12" t="n">
        <v>2</v>
      </c>
      <c r="E16" s="13" t="n">
        <f aca="false">B16-C16-D16</f>
        <v>1732</v>
      </c>
      <c r="F16" s="12" t="n">
        <v>1732</v>
      </c>
      <c r="G16" s="13" t="n">
        <f aca="false">F16-E16</f>
        <v>0</v>
      </c>
      <c r="H16" s="4" t="str">
        <f aca="false">IF(G16=0,"PASS","FAIL")</f>
        <v>PASS</v>
      </c>
    </row>
    <row r="17" customFormat="false" ht="15" hidden="false" customHeight="false" outlineLevel="0" collapsed="false">
      <c r="A17" s="4" t="s">
        <v>65</v>
      </c>
      <c r="B17" s="12" t="n">
        <v>1799</v>
      </c>
      <c r="C17" s="12" t="n">
        <v>6</v>
      </c>
      <c r="D17" s="12" t="n">
        <v>2</v>
      </c>
      <c r="E17" s="13" t="n">
        <f aca="false">B17-C17-D17</f>
        <v>1791</v>
      </c>
      <c r="F17" s="12" t="n">
        <v>1791</v>
      </c>
      <c r="G17" s="13" t="n">
        <f aca="false">F17-E17</f>
        <v>0</v>
      </c>
      <c r="H17" s="4" t="str">
        <f aca="false">IF(G17=0,"PASS","FAIL")</f>
        <v>PASS</v>
      </c>
    </row>
    <row r="18" customFormat="false" ht="15" hidden="false" customHeight="false" outlineLevel="0" collapsed="false">
      <c r="A18" s="7" t="s">
        <v>66</v>
      </c>
      <c r="B18" s="14" t="n">
        <f aca="false">SUM(B5:B17)</f>
        <v>18575</v>
      </c>
      <c r="C18" s="14" t="n">
        <f aca="false">SUM(C5:C17)</f>
        <v>57</v>
      </c>
      <c r="D18" s="14" t="n">
        <f aca="false">SUM(D5:D17)</f>
        <v>18</v>
      </c>
      <c r="E18" s="14" t="n">
        <f aca="false">SUM(E5:E17)</f>
        <v>18500</v>
      </c>
      <c r="F18" s="14" t="n">
        <f aca="false">SUM(F5:F17)</f>
        <v>18500</v>
      </c>
      <c r="G18" s="14" t="n">
        <f aca="false">SUM(G5:G17)</f>
        <v>0</v>
      </c>
      <c r="H18" s="7" t="str">
        <f aca="false">IF(COUNTIF(H5:H17,"FAIL")=0,"PASS","FAIL")</f>
        <v>PASS</v>
      </c>
    </row>
  </sheetData>
  <conditionalFormatting sqref="H5:H1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2"/>
    <col collapsed="false" customWidth="true" hidden="false" outlineLevel="0" max="5" min="4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30" hidden="false" customHeight="true" outlineLevel="0" collapsed="false">
      <c r="A4" s="11" t="s">
        <v>45</v>
      </c>
      <c r="B4" s="11" t="s">
        <v>69</v>
      </c>
      <c r="C4" s="11" t="s">
        <v>70</v>
      </c>
      <c r="D4" s="11" t="s">
        <v>51</v>
      </c>
      <c r="E4" s="11" t="s">
        <v>71</v>
      </c>
      <c r="F4" s="11" t="s">
        <v>52</v>
      </c>
    </row>
    <row r="5" customFormat="false" ht="15" hidden="false" customHeight="false" outlineLevel="0" collapsed="false">
      <c r="A5" s="4" t="s">
        <v>54</v>
      </c>
      <c r="B5" s="15" t="n">
        <v>1896006.1879</v>
      </c>
      <c r="C5" s="15" t="n">
        <v>1896006.19</v>
      </c>
      <c r="D5" s="16" t="n">
        <f aca="false">B5-C5</f>
        <v>-0.00209999992512167</v>
      </c>
      <c r="E5" s="17" t="b">
        <f aca="false">ABS(D5)&lt;=Controls!$B$3</f>
        <v>1</v>
      </c>
      <c r="F5" s="4" t="str">
        <f aca="false">IF(E5,"PASS","FAIL")</f>
        <v>PASS</v>
      </c>
    </row>
    <row r="6" customFormat="false" ht="15" hidden="false" customHeight="false" outlineLevel="0" collapsed="false">
      <c r="A6" s="4" t="s">
        <v>55</v>
      </c>
      <c r="B6" s="15" t="n">
        <v>2003656.6522</v>
      </c>
      <c r="C6" s="15" t="n">
        <v>2003656.65</v>
      </c>
      <c r="D6" s="16" t="n">
        <f aca="false">B6-C6</f>
        <v>0.00219999998807907</v>
      </c>
      <c r="E6" s="17" t="b">
        <f aca="false">ABS(D6)&lt;=Controls!$B$3</f>
        <v>1</v>
      </c>
      <c r="F6" s="4" t="str">
        <f aca="false">IF(E6,"PASS","FAIL")</f>
        <v>PASS</v>
      </c>
    </row>
    <row r="7" customFormat="false" ht="15" hidden="false" customHeight="false" outlineLevel="0" collapsed="false">
      <c r="A7" s="4" t="s">
        <v>56</v>
      </c>
      <c r="B7" s="15" t="n">
        <v>2097023.4081</v>
      </c>
      <c r="C7" s="15" t="n">
        <v>2097023.41</v>
      </c>
      <c r="D7" s="16" t="n">
        <f aca="false">B7-C7</f>
        <v>-0.0019000000320375</v>
      </c>
      <c r="E7" s="17" t="b">
        <f aca="false">ABS(D7)&lt;=Controls!$B$3</f>
        <v>1</v>
      </c>
      <c r="F7" s="4" t="str">
        <f aca="false">IF(E7,"PASS","FAIL")</f>
        <v>PASS</v>
      </c>
    </row>
    <row r="8" customFormat="false" ht="15" hidden="false" customHeight="false" outlineLevel="0" collapsed="false">
      <c r="A8" s="4" t="s">
        <v>57</v>
      </c>
      <c r="B8" s="15" t="n">
        <v>2196164.5551</v>
      </c>
      <c r="C8" s="15" t="n">
        <v>2196164.56</v>
      </c>
      <c r="D8" s="16" t="n">
        <f aca="false">B8-C8</f>
        <v>-0.00490000005811453</v>
      </c>
      <c r="E8" s="17" t="b">
        <f aca="false">ABS(D8)&lt;=Controls!$B$3</f>
        <v>1</v>
      </c>
      <c r="F8" s="4" t="str">
        <f aca="false">IF(E8,"PASS","FAIL")</f>
        <v>PASS</v>
      </c>
    </row>
    <row r="9" customFormat="false" ht="15" hidden="false" customHeight="false" outlineLevel="0" collapsed="false">
      <c r="A9" s="4" t="s">
        <v>58</v>
      </c>
      <c r="B9" s="15" t="n">
        <v>2318746.9563</v>
      </c>
      <c r="C9" s="15" t="n">
        <v>2318746.96</v>
      </c>
      <c r="D9" s="16" t="n">
        <f aca="false">B9-C9</f>
        <v>-0.00369999976828694</v>
      </c>
      <c r="E9" s="17" t="b">
        <f aca="false">ABS(D9)&lt;=Controls!$B$3</f>
        <v>1</v>
      </c>
      <c r="F9" s="4" t="str">
        <f aca="false">IF(E9,"PASS","FAIL")</f>
        <v>PASS</v>
      </c>
    </row>
    <row r="10" customFormat="false" ht="15" hidden="false" customHeight="false" outlineLevel="0" collapsed="false">
      <c r="A10" s="4" t="s">
        <v>59</v>
      </c>
      <c r="B10" s="15" t="n">
        <v>2420255.144</v>
      </c>
      <c r="C10" s="15" t="n">
        <v>2420255.14</v>
      </c>
      <c r="D10" s="16" t="n">
        <f aca="false">B10-C10</f>
        <v>0.00399999972432852</v>
      </c>
      <c r="E10" s="17" t="b">
        <f aca="false">ABS(D10)&lt;=Controls!$B$3</f>
        <v>1</v>
      </c>
      <c r="F10" s="4" t="str">
        <f aca="false">IF(E10,"PASS","FAIL")</f>
        <v>PASS</v>
      </c>
    </row>
    <row r="11" customFormat="false" ht="15" hidden="false" customHeight="false" outlineLevel="0" collapsed="false">
      <c r="A11" s="4" t="s">
        <v>60</v>
      </c>
      <c r="B11" s="15" t="n">
        <v>2532124.6404</v>
      </c>
      <c r="C11" s="15" t="n">
        <v>2532124.64</v>
      </c>
      <c r="D11" s="16" t="n">
        <f aca="false">B11-C11</f>
        <v>0.000399999786168337</v>
      </c>
      <c r="E11" s="17" t="b">
        <f aca="false">ABS(D11)&lt;=Controls!$B$3</f>
        <v>1</v>
      </c>
      <c r="F11" s="4" t="str">
        <f aca="false">IF(E11,"PASS","FAIL")</f>
        <v>PASS</v>
      </c>
    </row>
    <row r="12" customFormat="false" ht="15" hidden="false" customHeight="false" outlineLevel="0" collapsed="false">
      <c r="A12" s="4" t="s">
        <v>61</v>
      </c>
      <c r="B12" s="15" t="n">
        <v>2594913.8303</v>
      </c>
      <c r="C12" s="15" t="n">
        <v>2594913.83</v>
      </c>
      <c r="D12" s="16" t="n">
        <f aca="false">B12-C12</f>
        <v>0.000299999956041575</v>
      </c>
      <c r="E12" s="17" t="b">
        <f aca="false">ABS(D12)&lt;=Controls!$B$3</f>
        <v>1</v>
      </c>
      <c r="F12" s="4" t="str">
        <f aca="false">IF(E12,"PASS","FAIL")</f>
        <v>PASS</v>
      </c>
    </row>
    <row r="13" customFormat="false" ht="15" hidden="false" customHeight="false" outlineLevel="0" collapsed="false">
      <c r="A13" s="4" t="s">
        <v>62</v>
      </c>
      <c r="B13" s="15" t="n">
        <v>2697822.958</v>
      </c>
      <c r="C13" s="15" t="n">
        <v>2697822.96</v>
      </c>
      <c r="D13" s="16" t="n">
        <f aca="false">B13-C13</f>
        <v>-0.00199999986216426</v>
      </c>
      <c r="E13" s="17" t="b">
        <f aca="false">ABS(D13)&lt;=Controls!$B$3</f>
        <v>1</v>
      </c>
      <c r="F13" s="4" t="str">
        <f aca="false">IF(E13,"PASS","FAIL")</f>
        <v>PASS</v>
      </c>
    </row>
    <row r="14" customFormat="false" ht="15" hidden="false" customHeight="false" outlineLevel="0" collapsed="false">
      <c r="A14" s="4" t="s">
        <v>63</v>
      </c>
      <c r="B14" s="15" t="n">
        <v>2828039.8871</v>
      </c>
      <c r="C14" s="15" t="n">
        <v>2828039.89</v>
      </c>
      <c r="D14" s="16" t="n">
        <f aca="false">B14-C14</f>
        <v>-0.00290000019595027</v>
      </c>
      <c r="E14" s="17" t="b">
        <f aca="false">ABS(D14)&lt;=Controls!$B$3</f>
        <v>1</v>
      </c>
      <c r="F14" s="4" t="str">
        <f aca="false">IF(E14,"PASS","FAIL")</f>
        <v>PASS</v>
      </c>
    </row>
    <row r="15" customFormat="false" ht="15" hidden="false" customHeight="false" outlineLevel="0" collapsed="false">
      <c r="A15" s="4" t="s">
        <v>64</v>
      </c>
      <c r="B15" s="15" t="n">
        <v>2889746.435</v>
      </c>
      <c r="C15" s="15" t="n">
        <v>2889746.44</v>
      </c>
      <c r="D15" s="16" t="n">
        <f aca="false">B15-C15</f>
        <v>-0.00499999988824129</v>
      </c>
      <c r="E15" s="17" t="b">
        <f aca="false">ABS(D15)&lt;=Controls!$B$3</f>
        <v>1</v>
      </c>
      <c r="F15" s="4" t="str">
        <f aca="false">IF(E15,"PASS","FAIL")</f>
        <v>PASS</v>
      </c>
    </row>
    <row r="16" customFormat="false" ht="15" hidden="false" customHeight="false" outlineLevel="0" collapsed="false">
      <c r="A16" s="4" t="s">
        <v>65</v>
      </c>
      <c r="B16" s="15" t="n">
        <v>2985763.7925</v>
      </c>
      <c r="C16" s="15" t="n">
        <v>2985763.79</v>
      </c>
      <c r="D16" s="16" t="n">
        <f aca="false">B16-C16</f>
        <v>0.00249999994412065</v>
      </c>
      <c r="E16" s="17" t="b">
        <f aca="false">ABS(D16)&lt;=Controls!$B$3</f>
        <v>1</v>
      </c>
      <c r="F16" s="4" t="str">
        <f aca="false">IF(E16,"PASS","FAIL")</f>
        <v>PASS</v>
      </c>
    </row>
    <row r="17" customFormat="false" ht="15" hidden="false" customHeight="false" outlineLevel="0" collapsed="false">
      <c r="A17" s="7" t="s">
        <v>72</v>
      </c>
      <c r="B17" s="18" t="n">
        <f aca="false">SUM(B5:B16)</f>
        <v>29460264.4469</v>
      </c>
      <c r="C17" s="18" t="n">
        <f aca="false">SUM(C5:C16)</f>
        <v>29460264.46</v>
      </c>
      <c r="D17" s="18" t="n">
        <f aca="false">SUM(D5:D16)</f>
        <v>-0.0131000003311783</v>
      </c>
      <c r="E17" s="19" t="b">
        <f aca="false">ABS(D17)&lt;=Controls!$B$3*12</f>
        <v>1</v>
      </c>
      <c r="F17" s="7" t="str">
        <f aca="false">IF(AND(E17,COUNTIF(F5:F16,"FAIL")=0),"PASS","FAIL")</f>
        <v>PASS</v>
      </c>
    </row>
  </sheetData>
  <conditionalFormatting sqref="F5:F1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6" min="3" style="0" width="13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30" hidden="false" customHeight="true" outlineLevel="0" collapsed="false">
      <c r="A4" s="11" t="s">
        <v>45</v>
      </c>
      <c r="B4" s="11" t="s">
        <v>75</v>
      </c>
      <c r="C4" s="11" t="s">
        <v>76</v>
      </c>
      <c r="D4" s="11" t="s">
        <v>77</v>
      </c>
      <c r="E4" s="11" t="s">
        <v>78</v>
      </c>
      <c r="F4" s="11" t="s">
        <v>79</v>
      </c>
      <c r="G4" s="11" t="s">
        <v>80</v>
      </c>
      <c r="H4" s="11" t="s">
        <v>81</v>
      </c>
      <c r="I4" s="11" t="s">
        <v>82</v>
      </c>
      <c r="J4" s="11" t="s">
        <v>83</v>
      </c>
      <c r="K4" s="11" t="s">
        <v>84</v>
      </c>
      <c r="L4" s="11" t="s">
        <v>52</v>
      </c>
    </row>
    <row r="5" customFormat="false" ht="15" hidden="false" customHeight="false" outlineLevel="0" collapsed="false">
      <c r="A5" s="4" t="s">
        <v>54</v>
      </c>
      <c r="B5" s="15" t="n">
        <v>1800341.1825</v>
      </c>
      <c r="C5" s="15" t="n">
        <v>67032.4514</v>
      </c>
      <c r="D5" s="15" t="n">
        <v>44338.8611</v>
      </c>
      <c r="E5" s="15" t="n">
        <v>1755.7244</v>
      </c>
      <c r="F5" s="15" t="n">
        <v>9483.6487</v>
      </c>
      <c r="G5" s="15" t="n">
        <v>-4466.9339</v>
      </c>
      <c r="H5" s="15" t="n">
        <v>1896006.1879</v>
      </c>
      <c r="I5" s="16" t="n">
        <f aca="false">B5+C5+D5-E5-F5+G5</f>
        <v>1896006.188</v>
      </c>
      <c r="J5" s="16" t="n">
        <f aca="false">I5-H5</f>
        <v>0.000100000062957406</v>
      </c>
      <c r="K5" s="17" t="b">
        <f aca="false">TRUE()</f>
        <v>1</v>
      </c>
      <c r="L5" s="4" t="str">
        <f aca="false">IF(AND(ABS(J5)&lt;=Controls!$B$4,K5),"PASS","FAIL")</f>
        <v>PASS</v>
      </c>
    </row>
    <row r="6" customFormat="false" ht="15" hidden="false" customHeight="false" outlineLevel="0" collapsed="false">
      <c r="A6" s="4" t="s">
        <v>55</v>
      </c>
      <c r="B6" s="15" t="n">
        <v>1896006.1879</v>
      </c>
      <c r="C6" s="15" t="n">
        <v>91412.7571</v>
      </c>
      <c r="D6" s="15" t="n">
        <v>43595.909</v>
      </c>
      <c r="E6" s="15" t="n">
        <v>1656.0512</v>
      </c>
      <c r="F6" s="15" t="n">
        <v>19916.7385</v>
      </c>
      <c r="G6" s="15" t="n">
        <v>-5785.4121</v>
      </c>
      <c r="H6" s="15" t="n">
        <v>2003656.6522</v>
      </c>
      <c r="I6" s="16" t="n">
        <f aca="false">B6+C6+D6-E6-F6+G6</f>
        <v>2003656.6522</v>
      </c>
      <c r="J6" s="16" t="n">
        <f aca="false">I6-H6</f>
        <v>0</v>
      </c>
      <c r="K6" s="17" t="b">
        <f aca="false">ABS(B6-H5)&lt;=Controls!$B$4</f>
        <v>1</v>
      </c>
      <c r="L6" s="4" t="str">
        <f aca="false">IF(AND(ABS(J6)&lt;=Controls!$B$4,K6),"PASS","FAIL")</f>
        <v>PASS</v>
      </c>
    </row>
    <row r="7" customFormat="false" ht="15" hidden="false" customHeight="false" outlineLevel="0" collapsed="false">
      <c r="A7" s="4" t="s">
        <v>56</v>
      </c>
      <c r="B7" s="15" t="n">
        <v>2003656.6522</v>
      </c>
      <c r="C7" s="15" t="n">
        <v>75585.2384</v>
      </c>
      <c r="D7" s="15" t="n">
        <v>36404.2059</v>
      </c>
      <c r="E7" s="15" t="n">
        <v>3082.8521</v>
      </c>
      <c r="F7" s="15" t="n">
        <v>14193.8839</v>
      </c>
      <c r="G7" s="15" t="n">
        <v>-1345.9523</v>
      </c>
      <c r="H7" s="15" t="n">
        <v>2097023.4081</v>
      </c>
      <c r="I7" s="16" t="n">
        <f aca="false">B7+C7+D7-E7-F7+G7</f>
        <v>2097023.4082</v>
      </c>
      <c r="J7" s="16" t="n">
        <f aca="false">I7-H7</f>
        <v>0.000100000528618693</v>
      </c>
      <c r="K7" s="17" t="b">
        <f aca="false">ABS(B7-H6)&lt;=Controls!$B$4</f>
        <v>1</v>
      </c>
      <c r="L7" s="4" t="str">
        <f aca="false">IF(AND(ABS(J7)&lt;=Controls!$B$4,K7),"PASS","FAIL")</f>
        <v>PASS</v>
      </c>
    </row>
    <row r="8" customFormat="false" ht="15" hidden="false" customHeight="false" outlineLevel="0" collapsed="false">
      <c r="A8" s="4" t="s">
        <v>57</v>
      </c>
      <c r="B8" s="15" t="n">
        <v>2097023.4081</v>
      </c>
      <c r="C8" s="15" t="n">
        <v>71447.6794</v>
      </c>
      <c r="D8" s="15" t="n">
        <v>41476.3471</v>
      </c>
      <c r="E8" s="15" t="n">
        <v>5552.6922</v>
      </c>
      <c r="F8" s="15" t="n">
        <v>9296.1358</v>
      </c>
      <c r="G8" s="15" t="n">
        <v>1065.9485</v>
      </c>
      <c r="H8" s="15" t="n">
        <v>2196164.5551</v>
      </c>
      <c r="I8" s="16" t="n">
        <f aca="false">B8+C8+D8-E8-F8+G8</f>
        <v>2196164.5551</v>
      </c>
      <c r="J8" s="16" t="n">
        <f aca="false">I8-H8</f>
        <v>0</v>
      </c>
      <c r="K8" s="17" t="b">
        <f aca="false">ABS(B8-H7)&lt;=Controls!$B$4</f>
        <v>1</v>
      </c>
      <c r="L8" s="4" t="str">
        <f aca="false">IF(AND(ABS(J8)&lt;=Controls!$B$4,K8),"PASS","FAIL")</f>
        <v>PASS</v>
      </c>
    </row>
    <row r="9" customFormat="false" ht="15" hidden="false" customHeight="false" outlineLevel="0" collapsed="false">
      <c r="A9" s="4" t="s">
        <v>58</v>
      </c>
      <c r="B9" s="15" t="n">
        <v>2196164.5551</v>
      </c>
      <c r="C9" s="15" t="n">
        <v>85900.1562</v>
      </c>
      <c r="D9" s="15" t="n">
        <v>55635.521</v>
      </c>
      <c r="E9" s="15" t="n">
        <v>1938.8054</v>
      </c>
      <c r="F9" s="15" t="n">
        <v>18393.8531</v>
      </c>
      <c r="G9" s="15" t="n">
        <v>1379.3825</v>
      </c>
      <c r="H9" s="15" t="n">
        <v>2318746.9563</v>
      </c>
      <c r="I9" s="16" t="n">
        <f aca="false">B9+C9+D9-E9-F9+G9</f>
        <v>2318746.9563</v>
      </c>
      <c r="J9" s="16" t="n">
        <f aca="false">I9-H9</f>
        <v>0</v>
      </c>
      <c r="K9" s="17" t="b">
        <f aca="false">ABS(B9-H8)&lt;=Controls!$B$4</f>
        <v>1</v>
      </c>
      <c r="L9" s="4" t="str">
        <f aca="false">IF(AND(ABS(J9)&lt;=Controls!$B$4,K9),"PASS","FAIL")</f>
        <v>PASS</v>
      </c>
    </row>
    <row r="10" customFormat="false" ht="15" hidden="false" customHeight="false" outlineLevel="0" collapsed="false">
      <c r="A10" s="4" t="s">
        <v>59</v>
      </c>
      <c r="B10" s="15" t="n">
        <v>2318746.9563</v>
      </c>
      <c r="C10" s="15" t="n">
        <v>79147.95</v>
      </c>
      <c r="D10" s="15" t="n">
        <v>45639.502</v>
      </c>
      <c r="E10" s="15" t="n">
        <v>12138.4257</v>
      </c>
      <c r="F10" s="15" t="n">
        <v>20334.2895</v>
      </c>
      <c r="G10" s="15" t="n">
        <v>9193.4508</v>
      </c>
      <c r="H10" s="15" t="n">
        <v>2420255.144</v>
      </c>
      <c r="I10" s="16" t="n">
        <f aca="false">B10+C10+D10-E10-F10+G10</f>
        <v>2420255.1439</v>
      </c>
      <c r="J10" s="16" t="n">
        <f aca="false">I10-H10</f>
        <v>-9.99993644654751E-005</v>
      </c>
      <c r="K10" s="17" t="b">
        <f aca="false">ABS(B10-H9)&lt;=Controls!$B$4</f>
        <v>1</v>
      </c>
      <c r="L10" s="4" t="str">
        <f aca="false">IF(AND(ABS(J10)&lt;=Controls!$B$4,K10),"PASS","FAIL")</f>
        <v>PASS</v>
      </c>
    </row>
    <row r="11" customFormat="false" ht="15" hidden="false" customHeight="false" outlineLevel="0" collapsed="false">
      <c r="A11" s="4" t="s">
        <v>60</v>
      </c>
      <c r="B11" s="15" t="n">
        <v>2420255.144</v>
      </c>
      <c r="C11" s="15" t="n">
        <v>109488.831</v>
      </c>
      <c r="D11" s="15" t="n">
        <v>32936.9125</v>
      </c>
      <c r="E11" s="15" t="n">
        <v>8324.5533</v>
      </c>
      <c r="F11" s="15" t="n">
        <v>29419.8676</v>
      </c>
      <c r="G11" s="15" t="n">
        <v>7188.1738</v>
      </c>
      <c r="H11" s="15" t="n">
        <v>2532124.6404</v>
      </c>
      <c r="I11" s="16" t="n">
        <f aca="false">B11+C11+D11-E11-F11+G11</f>
        <v>2532124.6404</v>
      </c>
      <c r="J11" s="16" t="n">
        <f aca="false">I11-H11</f>
        <v>0</v>
      </c>
      <c r="K11" s="17" t="b">
        <f aca="false">ABS(B11-H10)&lt;=Controls!$B$4</f>
        <v>1</v>
      </c>
      <c r="L11" s="4" t="str">
        <f aca="false">IF(AND(ABS(J11)&lt;=Controls!$B$4,K11),"PASS","FAIL")</f>
        <v>PASS</v>
      </c>
    </row>
    <row r="12" customFormat="false" ht="15" hidden="false" customHeight="false" outlineLevel="0" collapsed="false">
      <c r="A12" s="4" t="s">
        <v>61</v>
      </c>
      <c r="B12" s="15" t="n">
        <v>2532124.6404</v>
      </c>
      <c r="C12" s="15" t="n">
        <v>79881.3419</v>
      </c>
      <c r="D12" s="15" t="n">
        <v>41473.5668</v>
      </c>
      <c r="E12" s="15" t="n">
        <v>17012.219</v>
      </c>
      <c r="F12" s="15" t="n">
        <v>43754.1756</v>
      </c>
      <c r="G12" s="15" t="n">
        <v>2200.6758</v>
      </c>
      <c r="H12" s="15" t="n">
        <v>2594913.8303</v>
      </c>
      <c r="I12" s="16" t="n">
        <f aca="false">B12+C12+D12-E12-F12+G12</f>
        <v>2594913.8303</v>
      </c>
      <c r="J12" s="16" t="n">
        <f aca="false">I12-H12</f>
        <v>0</v>
      </c>
      <c r="K12" s="17" t="b">
        <f aca="false">ABS(B12-H11)&lt;=Controls!$B$4</f>
        <v>1</v>
      </c>
      <c r="L12" s="4" t="str">
        <f aca="false">IF(AND(ABS(J12)&lt;=Controls!$B$4,K12),"PASS","FAIL")</f>
        <v>PASS</v>
      </c>
    </row>
    <row r="13" customFormat="false" ht="15" hidden="false" customHeight="false" outlineLevel="0" collapsed="false">
      <c r="A13" s="4" t="s">
        <v>62</v>
      </c>
      <c r="B13" s="15" t="n">
        <v>2594913.8303</v>
      </c>
      <c r="C13" s="15" t="n">
        <v>90391.1929</v>
      </c>
      <c r="D13" s="15" t="n">
        <v>57261.6787</v>
      </c>
      <c r="E13" s="15" t="n">
        <v>2227.599</v>
      </c>
      <c r="F13" s="15" t="n">
        <v>47020.5014</v>
      </c>
      <c r="G13" s="15" t="n">
        <v>4504.3565</v>
      </c>
      <c r="H13" s="15" t="n">
        <v>2697822.958</v>
      </c>
      <c r="I13" s="16" t="n">
        <f aca="false">B13+C13+D13-E13-F13+G13</f>
        <v>2697822.958</v>
      </c>
      <c r="J13" s="16" t="n">
        <f aca="false">I13-H13</f>
        <v>0</v>
      </c>
      <c r="K13" s="17" t="b">
        <f aca="false">ABS(B13-H12)&lt;=Controls!$B$4</f>
        <v>1</v>
      </c>
      <c r="L13" s="4" t="str">
        <f aca="false">IF(AND(ABS(J13)&lt;=Controls!$B$4,K13),"PASS","FAIL")</f>
        <v>PASS</v>
      </c>
    </row>
    <row r="14" customFormat="false" ht="15" hidden="false" customHeight="false" outlineLevel="0" collapsed="false">
      <c r="A14" s="4" t="s">
        <v>63</v>
      </c>
      <c r="B14" s="15" t="n">
        <v>2697822.958</v>
      </c>
      <c r="C14" s="15" t="n">
        <v>84862.6185</v>
      </c>
      <c r="D14" s="15" t="n">
        <v>68142.6082</v>
      </c>
      <c r="E14" s="15" t="n">
        <v>7039.3407</v>
      </c>
      <c r="F14" s="15" t="n">
        <v>18030.1277</v>
      </c>
      <c r="G14" s="15" t="n">
        <v>2281.1709</v>
      </c>
      <c r="H14" s="15" t="n">
        <v>2828039.8871</v>
      </c>
      <c r="I14" s="16" t="n">
        <f aca="false">B14+C14+D14-E14-F14+G14</f>
        <v>2828039.8872</v>
      </c>
      <c r="J14" s="16" t="n">
        <f aca="false">I14-H14</f>
        <v>9.99998301267624E-005</v>
      </c>
      <c r="K14" s="17" t="b">
        <f aca="false">ABS(B14-H13)&lt;=Controls!$B$4</f>
        <v>1</v>
      </c>
      <c r="L14" s="4" t="str">
        <f aca="false">IF(AND(ABS(J14)&lt;=Controls!$B$4,K14),"PASS","FAIL")</f>
        <v>PASS</v>
      </c>
    </row>
    <row r="15" customFormat="false" ht="15" hidden="false" customHeight="false" outlineLevel="0" collapsed="false">
      <c r="A15" s="4" t="s">
        <v>64</v>
      </c>
      <c r="B15" s="15" t="n">
        <v>2828039.8871</v>
      </c>
      <c r="C15" s="15" t="n">
        <v>92995.4135</v>
      </c>
      <c r="D15" s="15" t="n">
        <v>52514.6852</v>
      </c>
      <c r="E15" s="15" t="n">
        <v>5774.0698</v>
      </c>
      <c r="F15" s="15" t="n">
        <v>74657.0548</v>
      </c>
      <c r="G15" s="15" t="n">
        <v>-3372.4262</v>
      </c>
      <c r="H15" s="15" t="n">
        <v>2889746.435</v>
      </c>
      <c r="I15" s="16" t="n">
        <f aca="false">B15+C15+D15-E15-F15+G15</f>
        <v>2889746.435</v>
      </c>
      <c r="J15" s="16" t="n">
        <f aca="false">I15-H15</f>
        <v>0</v>
      </c>
      <c r="K15" s="17" t="b">
        <f aca="false">ABS(B15-H14)&lt;=Controls!$B$4</f>
        <v>1</v>
      </c>
      <c r="L15" s="4" t="str">
        <f aca="false">IF(AND(ABS(J15)&lt;=Controls!$B$4,K15),"PASS","FAIL")</f>
        <v>PASS</v>
      </c>
    </row>
    <row r="16" customFormat="false" ht="15" hidden="false" customHeight="false" outlineLevel="0" collapsed="false">
      <c r="A16" s="4" t="s">
        <v>65</v>
      </c>
      <c r="B16" s="15" t="n">
        <v>2889746.435</v>
      </c>
      <c r="C16" s="15" t="n">
        <v>86607.7271</v>
      </c>
      <c r="D16" s="15" t="n">
        <v>45548.4843</v>
      </c>
      <c r="E16" s="15" t="n">
        <v>4058.5028</v>
      </c>
      <c r="F16" s="15" t="n">
        <v>28955.1519</v>
      </c>
      <c r="G16" s="15" t="n">
        <v>-3125.1992</v>
      </c>
      <c r="H16" s="15" t="n">
        <v>2985763.7925</v>
      </c>
      <c r="I16" s="16" t="n">
        <f aca="false">B16+C16+D16-E16-F16+G16</f>
        <v>2985763.7925</v>
      </c>
      <c r="J16" s="16" t="n">
        <f aca="false">I16-H16</f>
        <v>0</v>
      </c>
      <c r="K16" s="17" t="b">
        <f aca="false">ABS(B16-H15)&lt;=Controls!$B$4</f>
        <v>1</v>
      </c>
      <c r="L16" s="4" t="str">
        <f aca="false">IF(AND(ABS(J16)&lt;=Controls!$B$4,K16),"PASS","FAIL")</f>
        <v>PASS</v>
      </c>
    </row>
    <row r="17" customFormat="false" ht="15" hidden="false" customHeight="false" outlineLevel="0" collapsed="false">
      <c r="A17" s="7" t="s">
        <v>72</v>
      </c>
      <c r="B17" s="18" t="n">
        <f aca="false">B5</f>
        <v>1800341.1825</v>
      </c>
      <c r="C17" s="18" t="n">
        <f aca="false">SUM(C5:C16)</f>
        <v>1014753.3574</v>
      </c>
      <c r="D17" s="18" t="n">
        <f aca="false">SUM(D5:D16)</f>
        <v>564968.2818</v>
      </c>
      <c r="E17" s="18" t="n">
        <f aca="false">SUM(E5:E16)</f>
        <v>70560.8356</v>
      </c>
      <c r="F17" s="18" t="n">
        <f aca="false">SUM(F5:F16)</f>
        <v>333455.4285</v>
      </c>
      <c r="G17" s="18" t="n">
        <f aca="false">SUM(G5:G16)</f>
        <v>9717.2351</v>
      </c>
      <c r="H17" s="18" t="n">
        <f aca="false">H16</f>
        <v>2985763.7925</v>
      </c>
      <c r="I17" s="18" t="n">
        <f aca="false">B17+C17+D17-E17-F17+G17</f>
        <v>2985763.7927</v>
      </c>
      <c r="J17" s="18" t="n">
        <f aca="false">I17-H17</f>
        <v>0.000200000591576099</v>
      </c>
      <c r="L17" s="7" t="str">
        <f aca="false">IF(AND(ABS(J17)&lt;=Controls!$B$4,COUNTIF(L5:L16,"FAIL")=0),"PASS","FAIL")</f>
        <v>PASS</v>
      </c>
    </row>
  </sheetData>
  <conditionalFormatting sqref="L5:L1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30" hidden="false" customHeight="true" outlineLevel="0" collapsed="false">
      <c r="A4" s="11" t="s">
        <v>3</v>
      </c>
      <c r="B4" s="11" t="s">
        <v>87</v>
      </c>
      <c r="C4" s="11" t="s">
        <v>88</v>
      </c>
      <c r="D4" s="11" t="s">
        <v>51</v>
      </c>
      <c r="E4" s="11" t="s">
        <v>52</v>
      </c>
    </row>
    <row r="5" customFormat="false" ht="15" hidden="false" customHeight="false" outlineLevel="0" collapsed="false">
      <c r="A5" s="4" t="s">
        <v>89</v>
      </c>
      <c r="B5" s="12" t="n">
        <v>1483</v>
      </c>
      <c r="C5" s="12" t="n">
        <v>1483</v>
      </c>
      <c r="D5" s="13" t="n">
        <f aca="false">C5-B5</f>
        <v>0</v>
      </c>
      <c r="E5" s="4" t="str">
        <f aca="false">IF(D5=0,"PASS","FAIL")</f>
        <v>PASS</v>
      </c>
    </row>
    <row r="6" customFormat="false" ht="15" hidden="false" customHeight="false" outlineLevel="0" collapsed="false">
      <c r="A6" s="4" t="s">
        <v>90</v>
      </c>
      <c r="B6" s="12" t="n">
        <v>1483</v>
      </c>
      <c r="C6" s="12" t="n">
        <v>1483</v>
      </c>
      <c r="D6" s="13" t="n">
        <f aca="false">C6-B6</f>
        <v>0</v>
      </c>
      <c r="E6" s="4" t="str">
        <f aca="false">IF(D6=0,"PASS","FAIL")</f>
        <v>PASS</v>
      </c>
    </row>
    <row r="7" customFormat="false" ht="15" hidden="false" customHeight="false" outlineLevel="0" collapsed="false">
      <c r="A7" s="4" t="s">
        <v>91</v>
      </c>
      <c r="B7" s="12" t="n">
        <v>0</v>
      </c>
      <c r="C7" s="12" t="n">
        <v>0</v>
      </c>
      <c r="D7" s="13" t="n">
        <f aca="false">C7-B7</f>
        <v>0</v>
      </c>
      <c r="E7" s="4" t="str">
        <f aca="false">IF(D7=0,"PASS","FAIL")</f>
        <v>PASS</v>
      </c>
    </row>
    <row r="8" customFormat="false" ht="15" hidden="false" customHeight="false" outlineLevel="0" collapsed="false">
      <c r="A8" s="4" t="s">
        <v>92</v>
      </c>
      <c r="B8" s="12" t="n">
        <v>0</v>
      </c>
      <c r="C8" s="12" t="n">
        <v>0</v>
      </c>
      <c r="D8" s="13" t="n">
        <f aca="false">C8-B8</f>
        <v>0</v>
      </c>
      <c r="E8" s="4" t="str">
        <f aca="false">IF(D8=0,"PASS","FAIL")</f>
        <v>PASS</v>
      </c>
    </row>
    <row r="9" customFormat="false" ht="15" hidden="false" customHeight="false" outlineLevel="0" collapsed="false">
      <c r="A9" s="4" t="s">
        <v>93</v>
      </c>
      <c r="B9" s="12" t="n">
        <v>18</v>
      </c>
      <c r="C9" s="12" t="n">
        <v>18</v>
      </c>
      <c r="D9" s="13" t="n">
        <f aca="false">C9-B9</f>
        <v>0</v>
      </c>
      <c r="E9" s="4" t="str">
        <f aca="false">IF(D9=0,"PASS","FAIL")</f>
        <v>PASS</v>
      </c>
    </row>
    <row r="10" customFormat="false" ht="15" hidden="false" customHeight="false" outlineLevel="0" collapsed="false">
      <c r="A10" s="7" t="s">
        <v>94</v>
      </c>
      <c r="E10" s="7" t="str">
        <f aca="false">IF(COUNTIF(E5:E9,"FAIL")=0,"PASS","FAIL")</f>
        <v>PASS</v>
      </c>
    </row>
  </sheetData>
  <conditionalFormatting sqref="E5:E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30" hidden="false" customHeight="true" outlineLevel="0" collapsed="false">
      <c r="A4" s="11" t="s">
        <v>97</v>
      </c>
      <c r="B4" s="11" t="s">
        <v>98</v>
      </c>
      <c r="C4" s="11" t="s">
        <v>99</v>
      </c>
      <c r="D4" s="11" t="s">
        <v>100</v>
      </c>
      <c r="E4" s="11" t="s">
        <v>51</v>
      </c>
      <c r="F4" s="11" t="s">
        <v>52</v>
      </c>
    </row>
    <row r="5" customFormat="false" ht="15" hidden="false" customHeight="false" outlineLevel="0" collapsed="false">
      <c r="A5" s="4" t="s">
        <v>101</v>
      </c>
      <c r="B5" s="15" t="n">
        <v>35829165.51</v>
      </c>
      <c r="C5" s="20" t="n">
        <f aca="false">3_MRR_RollForward!H16*12</f>
        <v>35829165.51</v>
      </c>
      <c r="D5" s="5" t="s">
        <v>102</v>
      </c>
      <c r="E5" s="16" t="n">
        <f aca="false">B5-C5</f>
        <v>0</v>
      </c>
      <c r="F5" s="4" t="str">
        <f aca="false">IF(ABS(E5)&lt;=Controls!$B$3,"PASS","FAIL")</f>
        <v>PASS</v>
      </c>
    </row>
    <row r="6" customFormat="false" ht="15" hidden="false" customHeight="false" outlineLevel="0" collapsed="false">
      <c r="A6" s="4" t="s">
        <v>103</v>
      </c>
      <c r="B6" s="15" t="n">
        <v>29460264.45</v>
      </c>
      <c r="C6" s="20" t="n">
        <f aca="false">2_Model_to_GL!C17</f>
        <v>29460264.46</v>
      </c>
      <c r="D6" s="5" t="s">
        <v>104</v>
      </c>
      <c r="E6" s="16" t="n">
        <f aca="false">B6-C6</f>
        <v>-0.0100000016391277</v>
      </c>
      <c r="F6" s="4" t="str">
        <f aca="false">IF(ABS(E6)&lt;=Controls!$B$3,"PASS","FAIL")</f>
        <v>PASS</v>
      </c>
    </row>
    <row r="7" customFormat="false" ht="15" hidden="false" customHeight="false" outlineLevel="0" collapsed="false">
      <c r="A7" s="4" t="s">
        <v>105</v>
      </c>
      <c r="B7" s="15" t="n">
        <v>1185422.61</v>
      </c>
      <c r="C7" s="20" t="n">
        <f aca="false">3_MRR_RollForward!C17+3_MRR_RollForward!D17-3_MRR_RollForward!E17-3_MRR_RollForward!F17+3_MRR_RollForward!G17</f>
        <v>1185422.6102</v>
      </c>
      <c r="D7" s="5" t="s">
        <v>106</v>
      </c>
      <c r="E7" s="16" t="n">
        <f aca="false">B7-C7</f>
        <v>-0.000199999893084168</v>
      </c>
      <c r="F7" s="4" t="str">
        <f aca="false">IF(ABS(E7)&lt;=Controls!$B$3,"PASS","FAIL")</f>
        <v>PASS</v>
      </c>
    </row>
    <row r="8" customFormat="false" ht="15" hidden="false" customHeight="false" outlineLevel="0" collapsed="false">
      <c r="A8" s="4" t="s">
        <v>107</v>
      </c>
      <c r="B8" s="15" t="n">
        <v>29110000</v>
      </c>
      <c r="C8" s="15" t="n">
        <v>29110000</v>
      </c>
      <c r="D8" s="5" t="s">
        <v>108</v>
      </c>
      <c r="E8" s="16" t="n">
        <f aca="false">B8-C8</f>
        <v>0</v>
      </c>
      <c r="F8" s="4" t="str">
        <f aca="false">IF(ABS(E8)&lt;=Controls!$B$3,"PASS","FAIL")</f>
        <v>PASS</v>
      </c>
    </row>
    <row r="9" customFormat="false" ht="15" hidden="false" customHeight="false" outlineLevel="0" collapsed="false">
      <c r="A9" s="7" t="s">
        <v>109</v>
      </c>
      <c r="D9" s="5" t="s">
        <v>110</v>
      </c>
      <c r="E9" s="21" t="n">
        <f aca="false">C6/C8-1</f>
        <v>0.0120324445207833</v>
      </c>
    </row>
    <row r="10" customFormat="false" ht="15" hidden="false" customHeight="false" outlineLevel="0" collapsed="false">
      <c r="A10" s="7" t="s">
        <v>111</v>
      </c>
      <c r="F10" s="7" t="str">
        <f aca="false">IF(COUNTIF(F5:F8,"FAIL")=0,"PASS","FAIL")</f>
        <v>PASS</v>
      </c>
    </row>
  </sheetData>
  <conditionalFormatting sqref="F5:F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6" min="5" style="0" width="18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30" hidden="false" customHeight="true" outlineLevel="0" collapsed="false">
      <c r="A4" s="11" t="s">
        <v>45</v>
      </c>
      <c r="B4" s="11" t="s">
        <v>114</v>
      </c>
      <c r="C4" s="11" t="s">
        <v>115</v>
      </c>
      <c r="D4" s="11" t="s">
        <v>116</v>
      </c>
      <c r="E4" s="11" t="s">
        <v>117</v>
      </c>
      <c r="F4" s="11" t="s">
        <v>118</v>
      </c>
      <c r="G4" s="11" t="s">
        <v>119</v>
      </c>
      <c r="H4" s="11" t="s">
        <v>52</v>
      </c>
    </row>
    <row r="5" customFormat="false" ht="15" hidden="false" customHeight="false" outlineLevel="0" collapsed="false">
      <c r="A5" s="4" t="s">
        <v>54</v>
      </c>
      <c r="B5" s="12" t="n">
        <v>50</v>
      </c>
      <c r="C5" s="12" t="n">
        <v>50</v>
      </c>
      <c r="D5" s="13" t="n">
        <f aca="false">B5-C5</f>
        <v>0</v>
      </c>
      <c r="E5" s="15" t="n">
        <v>804389.41</v>
      </c>
      <c r="F5" s="15" t="n">
        <v>804389.4163</v>
      </c>
      <c r="G5" s="16" t="n">
        <f aca="false">E5-F5</f>
        <v>-0.00630000000819564</v>
      </c>
      <c r="H5" s="4" t="str">
        <f aca="false">IF(AND(D5=0,ABS(G5)&lt;=Controls!$B$3),"PASS","FAIL")</f>
        <v>PASS</v>
      </c>
    </row>
    <row r="6" customFormat="false" ht="15" hidden="false" customHeight="false" outlineLevel="0" collapsed="false">
      <c r="A6" s="4" t="s">
        <v>55</v>
      </c>
      <c r="B6" s="12" t="n">
        <v>52</v>
      </c>
      <c r="C6" s="12" t="n">
        <v>52</v>
      </c>
      <c r="D6" s="13" t="n">
        <f aca="false">B6-C6</f>
        <v>0</v>
      </c>
      <c r="E6" s="15" t="n">
        <v>1096953.08</v>
      </c>
      <c r="F6" s="15" t="n">
        <v>1096953.0848</v>
      </c>
      <c r="G6" s="16" t="n">
        <f aca="false">E6-F6</f>
        <v>-0.00479999999515712</v>
      </c>
      <c r="H6" s="4" t="str">
        <f aca="false">IF(AND(D6=0,ABS(G6)&lt;=Controls!$B$3),"PASS","FAIL")</f>
        <v>PASS</v>
      </c>
    </row>
    <row r="7" customFormat="false" ht="15" hidden="false" customHeight="false" outlineLevel="0" collapsed="false">
      <c r="A7" s="4" t="s">
        <v>56</v>
      </c>
      <c r="B7" s="12" t="n">
        <v>46</v>
      </c>
      <c r="C7" s="12" t="n">
        <v>46</v>
      </c>
      <c r="D7" s="13" t="n">
        <f aca="false">B7-C7</f>
        <v>0</v>
      </c>
      <c r="E7" s="15" t="n">
        <v>907022.87</v>
      </c>
      <c r="F7" s="15" t="n">
        <v>907022.8605</v>
      </c>
      <c r="G7" s="16" t="n">
        <f aca="false">E7-F7</f>
        <v>0.00950000004377216</v>
      </c>
      <c r="H7" s="4" t="str">
        <f aca="false">IF(AND(D7=0,ABS(G7)&lt;=Controls!$B$3),"PASS","FAIL")</f>
        <v>PASS</v>
      </c>
    </row>
    <row r="8" customFormat="false" ht="15" hidden="false" customHeight="false" outlineLevel="0" collapsed="false">
      <c r="A8" s="4" t="s">
        <v>57</v>
      </c>
      <c r="B8" s="12" t="n">
        <v>46</v>
      </c>
      <c r="C8" s="12" t="n">
        <v>46</v>
      </c>
      <c r="D8" s="13" t="n">
        <f aca="false">B8-C8</f>
        <v>0</v>
      </c>
      <c r="E8" s="15" t="n">
        <v>857372.15</v>
      </c>
      <c r="F8" s="15" t="n">
        <v>857372.1528</v>
      </c>
      <c r="G8" s="16" t="n">
        <f aca="false">E8-F8</f>
        <v>-0.00280000001657754</v>
      </c>
      <c r="H8" s="4" t="str">
        <f aca="false">IF(AND(D8=0,ABS(G8)&lt;=Controls!$B$3),"PASS","FAIL")</f>
        <v>PASS</v>
      </c>
    </row>
    <row r="9" customFormat="false" ht="15" hidden="false" customHeight="false" outlineLevel="0" collapsed="false">
      <c r="A9" s="4" t="s">
        <v>58</v>
      </c>
      <c r="B9" s="12" t="n">
        <v>55</v>
      </c>
      <c r="C9" s="12" t="n">
        <v>55</v>
      </c>
      <c r="D9" s="13" t="n">
        <f aca="false">B9-C9</f>
        <v>0</v>
      </c>
      <c r="E9" s="15" t="n">
        <v>1030801.88</v>
      </c>
      <c r="F9" s="15" t="n">
        <v>1030801.8739</v>
      </c>
      <c r="G9" s="16" t="n">
        <f aca="false">E9-F9</f>
        <v>0.00609999999869615</v>
      </c>
      <c r="H9" s="4" t="str">
        <f aca="false">IF(AND(D9=0,ABS(G9)&lt;=Controls!$B$3),"PASS","FAIL")</f>
        <v>PASS</v>
      </c>
    </row>
    <row r="10" customFormat="false" ht="15" hidden="false" customHeight="false" outlineLevel="0" collapsed="false">
      <c r="A10" s="4" t="s">
        <v>59</v>
      </c>
      <c r="B10" s="12" t="n">
        <v>58</v>
      </c>
      <c r="C10" s="12" t="n">
        <v>58</v>
      </c>
      <c r="D10" s="13" t="n">
        <f aca="false">B10-C10</f>
        <v>0</v>
      </c>
      <c r="E10" s="15" t="n">
        <v>949775.4</v>
      </c>
      <c r="F10" s="15" t="n">
        <v>949775.4004</v>
      </c>
      <c r="G10" s="16" t="n">
        <f aca="false">E10-F10</f>
        <v>-0.000400000018998981</v>
      </c>
      <c r="H10" s="4" t="str">
        <f aca="false">IF(AND(D10=0,ABS(G10)&lt;=Controls!$B$3),"PASS","FAIL")</f>
        <v>PASS</v>
      </c>
    </row>
    <row r="11" customFormat="false" ht="15" hidden="false" customHeight="false" outlineLevel="0" collapsed="false">
      <c r="A11" s="4" t="s">
        <v>60</v>
      </c>
      <c r="B11" s="12" t="n">
        <v>53</v>
      </c>
      <c r="C11" s="12" t="n">
        <v>53</v>
      </c>
      <c r="D11" s="13" t="n">
        <f aca="false">B11-C11</f>
        <v>0</v>
      </c>
      <c r="E11" s="15" t="n">
        <v>1313865.96</v>
      </c>
      <c r="F11" s="15" t="n">
        <v>1313865.9716</v>
      </c>
      <c r="G11" s="16" t="n">
        <f aca="false">E11-F11</f>
        <v>-0.0116000000853091</v>
      </c>
      <c r="H11" s="4" t="str">
        <f aca="false">IF(AND(D11=0,ABS(G11)&lt;=Controls!$B$3),"PASS","FAIL")</f>
        <v>PASS</v>
      </c>
    </row>
    <row r="12" customFormat="false" ht="15" hidden="false" customHeight="false" outlineLevel="0" collapsed="false">
      <c r="A12" s="4" t="s">
        <v>61</v>
      </c>
      <c r="B12" s="12" t="n">
        <v>52</v>
      </c>
      <c r="C12" s="12" t="n">
        <v>52</v>
      </c>
      <c r="D12" s="13" t="n">
        <f aca="false">B12-C12</f>
        <v>0</v>
      </c>
      <c r="E12" s="15" t="n">
        <v>958576.13</v>
      </c>
      <c r="F12" s="15" t="n">
        <v>958576.103</v>
      </c>
      <c r="G12" s="16" t="n">
        <f aca="false">E12-F12</f>
        <v>0.0270000000018626</v>
      </c>
      <c r="H12" s="4" t="str">
        <f aca="false">IF(AND(D12=0,ABS(G12)&lt;=Controls!$B$3),"PASS","FAIL")</f>
        <v>PASS</v>
      </c>
    </row>
    <row r="13" customFormat="false" ht="15" hidden="false" customHeight="false" outlineLevel="0" collapsed="false">
      <c r="A13" s="4" t="s">
        <v>62</v>
      </c>
      <c r="B13" s="12" t="n">
        <v>53</v>
      </c>
      <c r="C13" s="12" t="n">
        <v>53</v>
      </c>
      <c r="D13" s="13" t="n">
        <f aca="false">B13-C13</f>
        <v>0</v>
      </c>
      <c r="E13" s="15" t="n">
        <v>1084694.34</v>
      </c>
      <c r="F13" s="15" t="n">
        <v>1084694.3143</v>
      </c>
      <c r="G13" s="16" t="n">
        <f aca="false">E13-F13</f>
        <v>0.0257000001147389</v>
      </c>
      <c r="H13" s="4" t="str">
        <f aca="false">IF(AND(D13=0,ABS(G13)&lt;=Controls!$B$3),"PASS","FAIL")</f>
        <v>PASS</v>
      </c>
    </row>
    <row r="14" customFormat="false" ht="15" hidden="false" customHeight="false" outlineLevel="0" collapsed="false">
      <c r="A14" s="4" t="s">
        <v>63</v>
      </c>
      <c r="B14" s="12" t="n">
        <v>59</v>
      </c>
      <c r="C14" s="12" t="n">
        <v>59</v>
      </c>
      <c r="D14" s="13" t="n">
        <f aca="false">B14-C14</f>
        <v>0</v>
      </c>
      <c r="E14" s="15" t="n">
        <v>1018351.44</v>
      </c>
      <c r="F14" s="15" t="n">
        <v>1018351.4216</v>
      </c>
      <c r="G14" s="16" t="n">
        <f aca="false">E14-F14</f>
        <v>0.0183999999426305</v>
      </c>
      <c r="H14" s="4" t="str">
        <f aca="false">IF(AND(D14=0,ABS(G14)&lt;=Controls!$B$3),"PASS","FAIL")</f>
        <v>PASS</v>
      </c>
    </row>
    <row r="15" customFormat="false" ht="15" hidden="false" customHeight="false" outlineLevel="0" collapsed="false">
      <c r="A15" s="4" t="s">
        <v>64</v>
      </c>
      <c r="B15" s="12" t="n">
        <v>62</v>
      </c>
      <c r="C15" s="12" t="n">
        <v>62</v>
      </c>
      <c r="D15" s="13" t="n">
        <f aca="false">B15-C15</f>
        <v>0</v>
      </c>
      <c r="E15" s="15" t="n">
        <v>1115944.95</v>
      </c>
      <c r="F15" s="15" t="n">
        <v>1115944.9625</v>
      </c>
      <c r="G15" s="16" t="n">
        <f aca="false">E15-F15</f>
        <v>-0.0124999999534339</v>
      </c>
      <c r="H15" s="4" t="str">
        <f aca="false">IF(AND(D15=0,ABS(G15)&lt;=Controls!$B$3),"PASS","FAIL")</f>
        <v>PASS</v>
      </c>
    </row>
    <row r="16" customFormat="false" ht="15" hidden="false" customHeight="false" outlineLevel="0" collapsed="false">
      <c r="A16" s="4" t="s">
        <v>65</v>
      </c>
      <c r="B16" s="12" t="n">
        <v>61</v>
      </c>
      <c r="C16" s="12" t="n">
        <v>61</v>
      </c>
      <c r="D16" s="13" t="n">
        <f aca="false">B16-C16</f>
        <v>0</v>
      </c>
      <c r="E16" s="15" t="n">
        <v>1039292.71</v>
      </c>
      <c r="F16" s="15" t="n">
        <v>1039292.7252</v>
      </c>
      <c r="G16" s="16" t="n">
        <f aca="false">E16-F16</f>
        <v>-0.0152000000234693</v>
      </c>
      <c r="H16" s="4" t="str">
        <f aca="false">IF(AND(D16=0,ABS(G16)&lt;=Controls!$B$3),"PASS","FAIL")</f>
        <v>PASS</v>
      </c>
    </row>
    <row r="17" customFormat="false" ht="15" hidden="false" customHeight="false" outlineLevel="0" collapsed="false">
      <c r="A17" s="7" t="s">
        <v>72</v>
      </c>
      <c r="B17" s="14" t="n">
        <f aca="false">SUM(B5:B16)</f>
        <v>647</v>
      </c>
      <c r="C17" s="14" t="n">
        <f aca="false">SUM(C5:C16)</f>
        <v>647</v>
      </c>
      <c r="D17" s="14" t="n">
        <f aca="false">SUM(D5:D16)</f>
        <v>0</v>
      </c>
      <c r="E17" s="18" t="n">
        <f aca="false">SUM(E5:E16)</f>
        <v>12177040.32</v>
      </c>
      <c r="F17" s="18" t="n">
        <f aca="false">SUM(F5:F16)</f>
        <v>12177040.2869</v>
      </c>
      <c r="G17" s="18" t="n">
        <f aca="false">SUM(G5:G16)</f>
        <v>0.0331000000005588</v>
      </c>
      <c r="H17" s="7" t="str">
        <f aca="false">IF(COUNTIF(H5:H16,"FAIL")=0,"PASS","FAIL")</f>
        <v>PASS</v>
      </c>
    </row>
  </sheetData>
  <conditionalFormatting sqref="H5:H1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2026-10-13T23:05:53Z</dcterms:created>
  <dc:creator>openpyxl</dc:creator>
  <dc:description/>
  <dc:language>en-US</dc:language>
  <cp:lastModifiedBy/>
  <dcterms:modified xsi:type="dcterms:W3CDTF">2026-10-13T23:05:55Z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